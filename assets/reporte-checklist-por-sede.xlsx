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nni\Downloads\"/>
    </mc:Choice>
  </mc:AlternateContent>
  <xr:revisionPtr revIDLastSave="0" documentId="8_{857EA6E1-6755-4735-B472-A72E693E02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Da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5" i="1"/>
  <c r="I4" i="1"/>
  <c r="E10" i="1"/>
  <c r="D10" i="1"/>
  <c r="C10" i="1"/>
  <c r="B10" i="1"/>
</calcChain>
</file>

<file path=xl/sharedStrings.xml><?xml version="1.0" encoding="utf-8"?>
<sst xmlns="http://schemas.openxmlformats.org/spreadsheetml/2006/main" count="25" uniqueCount="15">
  <si>
    <t>REPORTE DE CHECKLIST OPERATIVO POR SEDE</t>
  </si>
  <si>
    <t>Cantidad de registros realizados por tipo de control</t>
  </si>
  <si>
    <t>Sede</t>
  </si>
  <si>
    <t>Apertura</t>
  </si>
  <si>
    <t>Intermedio</t>
  </si>
  <si>
    <t>Cierre</t>
  </si>
  <si>
    <t>Total realizados</t>
  </si>
  <si>
    <t>Real Plaza Salaverry</t>
  </si>
  <si>
    <t>Real Plaza Puruchuco</t>
  </si>
  <si>
    <t>Real Plaza Centro Cívico</t>
  </si>
  <si>
    <t>Real Plaza Primavera</t>
  </si>
  <si>
    <t>Centro Comercial GAMA</t>
  </si>
  <si>
    <t>TOTAL</t>
  </si>
  <si>
    <t xml:space="preserve">TOTAL DE CHECK LIST </t>
  </si>
  <si>
    <t>CUMPLIMIENTO%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</si>
</sst>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0" fontId="5" fillId="4" borderId="0" xfId="0" applyFont="1" applyFill="1" applyAlignment="1">
      <alignment horizontal="center"/>
    </xf>
    <xf numFmtId="0" fontId="6" fillId="4" borderId="0" xfId="0" applyFont="1" applyFill="1"/>
    <xf numFmtId="9" fontId="0" fillId="0" borderId="1" xfId="1" applyFont="1" applyBorder="1" applyAlignment="1">
      <alignment horizontal="center"/>
    </xf>
    <xf numFmtId="0" fontId="0" fillId="0" borderId="0" xfId="0"/>
    <xf numFmtId="0" fontId="1" fillId="0" borderId="0" xfId="0" applyFont="1"/>
  </cellXfs>
  <cellStyles count="2">
    <cellStyle name="Normal" xfId="0" builtinId="0"/>
    <cellStyle name="Porcentaje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Checklist realizados por sede</a:t>
            </a:r>
          </a:p>
        </c:rich>
      </c:tx>
      <c:layout>
        <c:manualLayout>
          <c:xMode val="edge"/>
          <c:yMode val="edge"/>
          <c:x val="0.34311838651747478"/>
          <c:y val="2.2172949002217297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Resumen!$B$4</c:f>
              <c:strCache>
                <c:ptCount val="1"/>
                <c:pt idx="0">
                  <c:v>Apertura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Resumen!$A$5:$A$9</c:f>
              <c:strCache>
                <c:ptCount val="5"/>
                <c:pt idx="0">
                  <c:v>Real Plaza Salaverry</c:v>
                </c:pt>
                <c:pt idx="1">
                  <c:v>Real Plaza Puruchuco</c:v>
                </c:pt>
                <c:pt idx="2">
                  <c:v>Real Plaza Centro Cívico</c:v>
                </c:pt>
                <c:pt idx="3">
                  <c:v>Real Plaza Primavera</c:v>
                </c:pt>
                <c:pt idx="4">
                  <c:v>Centro Comercial GAMA</c:v>
                </c:pt>
              </c:strCache>
            </c:strRef>
          </c:cat>
          <c:val>
            <c:numRef>
              <c:f>Resumen!$B$5:$B$9</c:f>
              <c:numCache>
                <c:formatCode>General</c:formatCode>
                <c:ptCount val="5"/>
                <c:pt idx="0">
                  <c:v>17</c:v>
                </c:pt>
                <c:pt idx="1">
                  <c:v>16</c:v>
                </c:pt>
                <c:pt idx="2">
                  <c:v>13</c:v>
                </c:pt>
                <c:pt idx="3">
                  <c:v>13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B-40AF-AB4C-FEF8F121DB2F}"/>
            </c:ext>
          </c:extLst>
        </c:ser>
        <c:ser>
          <c:idx val="1"/>
          <c:order val="1"/>
          <c:tx>
            <c:strRef>
              <c:f>Resumen!$C$4</c:f>
              <c:strCache>
                <c:ptCount val="1"/>
                <c:pt idx="0">
                  <c:v>Intermedio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Resumen!$A$5:$A$9</c:f>
              <c:strCache>
                <c:ptCount val="5"/>
                <c:pt idx="0">
                  <c:v>Real Plaza Salaverry</c:v>
                </c:pt>
                <c:pt idx="1">
                  <c:v>Real Plaza Puruchuco</c:v>
                </c:pt>
                <c:pt idx="2">
                  <c:v>Real Plaza Centro Cívico</c:v>
                </c:pt>
                <c:pt idx="3">
                  <c:v>Real Plaza Primavera</c:v>
                </c:pt>
                <c:pt idx="4">
                  <c:v>Centro Comercial GAMA</c:v>
                </c:pt>
              </c:strCache>
            </c:strRef>
          </c:cat>
          <c:val>
            <c:numRef>
              <c:f>Resumen!$C$5:$C$9</c:f>
              <c:numCache>
                <c:formatCode>General</c:formatCode>
                <c:ptCount val="5"/>
                <c:pt idx="0">
                  <c:v>11</c:v>
                </c:pt>
                <c:pt idx="1">
                  <c:v>18</c:v>
                </c:pt>
                <c:pt idx="2">
                  <c:v>10</c:v>
                </c:pt>
                <c:pt idx="3">
                  <c:v>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DB-40AF-AB4C-FEF8F121DB2F}"/>
            </c:ext>
          </c:extLst>
        </c:ser>
        <c:ser>
          <c:idx val="2"/>
          <c:order val="2"/>
          <c:tx>
            <c:strRef>
              <c:f>Resumen!$D$4</c:f>
              <c:strCache>
                <c:ptCount val="1"/>
                <c:pt idx="0">
                  <c:v>Cierre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Resumen!$A$5:$A$9</c:f>
              <c:strCache>
                <c:ptCount val="5"/>
                <c:pt idx="0">
                  <c:v>Real Plaza Salaverry</c:v>
                </c:pt>
                <c:pt idx="1">
                  <c:v>Real Plaza Puruchuco</c:v>
                </c:pt>
                <c:pt idx="2">
                  <c:v>Real Plaza Centro Cívico</c:v>
                </c:pt>
                <c:pt idx="3">
                  <c:v>Real Plaza Primavera</c:v>
                </c:pt>
                <c:pt idx="4">
                  <c:v>Centro Comercial GAMA</c:v>
                </c:pt>
              </c:strCache>
            </c:strRef>
          </c:cat>
          <c:val>
            <c:numRef>
              <c:f>Resumen!$D$5:$D$9</c:f>
              <c:numCache>
                <c:formatCode>General</c:formatCode>
                <c:ptCount val="5"/>
                <c:pt idx="0">
                  <c:v>14</c:v>
                </c:pt>
                <c:pt idx="1">
                  <c:v>16</c:v>
                </c:pt>
                <c:pt idx="2">
                  <c:v>15</c:v>
                </c:pt>
                <c:pt idx="3">
                  <c:v>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DB-40AF-AB4C-FEF8F121DB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Sede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Cantidad de registros</a:t>
                </a:r>
              </a:p>
            </c:rich>
          </c:tx>
          <c:layout>
            <c:manualLayout>
              <c:xMode val="edge"/>
              <c:yMode val="edge"/>
              <c:x val="0.9754385964912281"/>
              <c:y val="0.27730328054891146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Resumen!$F$4</c:f>
              <c:strCache>
                <c:ptCount val="1"/>
                <c:pt idx="0">
                  <c:v>CUMPLIMIENTO%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8E5-4001-9727-8075BCF780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8E5-4001-9727-8075BCF780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8E5-4001-9727-8075BCF780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8E5-4001-9727-8075BCF780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8E5-4001-9727-8075BCF7800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8E5-4001-9727-8075BCF7800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8E5-4001-9727-8075BCF7800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8E5-4001-9727-8075BCF7800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C8E5-4001-9727-8075BCF7800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8E5-4001-9727-8075BCF7800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Resumen!$A$5:$A$9</c:f>
              <c:strCache>
                <c:ptCount val="5"/>
                <c:pt idx="0">
                  <c:v>Real Plaza Salaverry</c:v>
                </c:pt>
                <c:pt idx="1">
                  <c:v>Real Plaza Puruchuco</c:v>
                </c:pt>
                <c:pt idx="2">
                  <c:v>Real Plaza Centro Cívico</c:v>
                </c:pt>
                <c:pt idx="3">
                  <c:v>Real Plaza Primavera</c:v>
                </c:pt>
                <c:pt idx="4">
                  <c:v>Centro Comercial GAMA</c:v>
                </c:pt>
              </c:strCache>
            </c:strRef>
          </c:cat>
          <c:val>
            <c:numRef>
              <c:f>Resumen!$F$5:$F$9</c:f>
              <c:numCache>
                <c:formatCode>0%</c:formatCode>
                <c:ptCount val="5"/>
                <c:pt idx="0">
                  <c:v>0.77777777777777779</c:v>
                </c:pt>
                <c:pt idx="1">
                  <c:v>0.92592592592592593</c:v>
                </c:pt>
                <c:pt idx="2">
                  <c:v>0.70370370370370372</c:v>
                </c:pt>
                <c:pt idx="3">
                  <c:v>0.53703703703703709</c:v>
                </c:pt>
                <c:pt idx="4">
                  <c:v>1.8518518518518517E-2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5-4001-9727-8075BCF780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7239000" cy="3436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6</xdr:col>
      <xdr:colOff>106680</xdr:colOff>
      <xdr:row>11</xdr:row>
      <xdr:rowOff>114300</xdr:rowOff>
    </xdr:from>
    <xdr:to>
      <xdr:col>13</xdr:col>
      <xdr:colOff>586740</xdr:colOff>
      <xdr:row>30</xdr:row>
      <xdr:rowOff>137160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49932D-19AF-B5A5-4EA4-4E54BB52C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showGridLines="0" tabSelected="1" workbookViewId="0">
      <selection activeCell="F10" sqref="F10"/>
    </sheetView>
  </sheetViews>
  <sheetFormatPr baseColWidth="10" defaultColWidth="8.88671875" defaultRowHeight="14.4" x14ac:dyDescent="0.3"/>
  <cols>
    <col min="1" max="1" width="30" customWidth="1"/>
    <col min="2" max="4" width="14" customWidth="1"/>
    <col min="5" max="5" width="18" customWidth="1"/>
    <col min="6" max="6" width="16.33203125" bestFit="1" customWidth="1"/>
    <col min="8" max="8" width="19.5546875" bestFit="1" customWidth="1"/>
  </cols>
  <sheetData>
    <row r="1" spans="1:9" ht="21" x14ac:dyDescent="0.4">
      <c r="A1" s="9" t="s">
        <v>0</v>
      </c>
      <c r="B1" s="8"/>
      <c r="C1" s="8"/>
      <c r="D1" s="8"/>
      <c r="E1" s="8"/>
    </row>
    <row r="2" spans="1:9" x14ac:dyDescent="0.3">
      <c r="A2" s="8" t="s">
        <v>1</v>
      </c>
      <c r="B2" s="8"/>
      <c r="C2" s="8"/>
      <c r="D2" s="8"/>
      <c r="E2" s="8"/>
    </row>
    <row r="4" spans="1:9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14</v>
      </c>
      <c r="H4" s="5" t="s">
        <v>13</v>
      </c>
      <c r="I4" s="6">
        <f>3*18</f>
        <v>54</v>
      </c>
    </row>
    <row r="5" spans="1:9" x14ac:dyDescent="0.3">
      <c r="A5" s="2" t="s">
        <v>7</v>
      </c>
      <c r="B5" s="3">
        <v>17</v>
      </c>
      <c r="C5" s="3">
        <v>11</v>
      </c>
      <c r="D5" s="3">
        <v>14</v>
      </c>
      <c r="E5" s="3">
        <v>42</v>
      </c>
      <c r="F5" s="7">
        <f>+E5/$I$4</f>
        <v>0.77777777777777779</v>
      </c>
    </row>
    <row r="6" spans="1:9" x14ac:dyDescent="0.3">
      <c r="A6" s="2" t="s">
        <v>8</v>
      </c>
      <c r="B6" s="3">
        <v>16</v>
      </c>
      <c r="C6" s="3">
        <v>18</v>
      </c>
      <c r="D6" s="3">
        <v>16</v>
      </c>
      <c r="E6" s="3">
        <v>50</v>
      </c>
      <c r="F6" s="7">
        <f t="shared" ref="F6:F9" si="0">+E6/$I$4</f>
        <v>0.92592592592592593</v>
      </c>
    </row>
    <row r="7" spans="1:9" x14ac:dyDescent="0.3">
      <c r="A7" s="2" t="s">
        <v>9</v>
      </c>
      <c r="B7" s="3">
        <v>13</v>
      </c>
      <c r="C7" s="3">
        <v>10</v>
      </c>
      <c r="D7" s="3">
        <v>15</v>
      </c>
      <c r="E7" s="3">
        <v>38</v>
      </c>
      <c r="F7" s="7">
        <f t="shared" si="0"/>
        <v>0.70370370370370372</v>
      </c>
    </row>
    <row r="8" spans="1:9" x14ac:dyDescent="0.3">
      <c r="A8" s="2" t="s">
        <v>10</v>
      </c>
      <c r="B8" s="3">
        <v>13</v>
      </c>
      <c r="C8" s="3">
        <v>7</v>
      </c>
      <c r="D8" s="3">
        <v>9</v>
      </c>
      <c r="E8" s="3">
        <v>29</v>
      </c>
      <c r="F8" s="7">
        <f t="shared" si="0"/>
        <v>0.53703703703703709</v>
      </c>
    </row>
    <row r="9" spans="1:9" x14ac:dyDescent="0.3">
      <c r="A9" s="2" t="s">
        <v>11</v>
      </c>
      <c r="B9" s="3">
        <v>1</v>
      </c>
      <c r="C9" s="3">
        <v>0</v>
      </c>
      <c r="D9" s="3">
        <v>0</v>
      </c>
      <c r="E9" s="3">
        <v>1</v>
      </c>
      <c r="F9" s="7">
        <f t="shared" si="0"/>
        <v>1.8518518518518517E-2</v>
      </c>
    </row>
    <row r="10" spans="1:9" x14ac:dyDescent="0.3">
      <c r="A10" s="4" t="s">
        <v>12</v>
      </c>
      <c r="B10" s="4">
        <f>SUM(B5:B9)</f>
        <v>60</v>
      </c>
      <c r="C10" s="4">
        <f>SUM(C5:C9)</f>
        <v>46</v>
      </c>
      <c r="D10" s="4">
        <f>SUM(D5:D9)</f>
        <v>54</v>
      </c>
      <c r="E10" s="4">
        <f>SUM(E5:E9)</f>
        <v>160</v>
      </c>
      <c r="F10" s="4"/>
    </row>
  </sheetData>
  <mergeCells count="2">
    <mergeCell ref="A2:E2"/>
    <mergeCell ref="A1:E1"/>
  </mergeCells>
  <conditionalFormatting sqref="F5:F9 F35:F1048576">
    <cfRule type="cellIs" dxfId="3" priority="1" operator="lessThan">
      <formula>0.69</formula>
    </cfRule>
    <cfRule type="cellIs" dxfId="2" priority="2" operator="between">
      <formula>0.7</formula>
      <formula>0.79</formula>
    </cfRule>
    <cfRule type="cellIs" dxfId="1" priority="3" operator="greaterThan">
      <formula>0.8</formula>
    </cfRule>
    <cfRule type="cellIs" dxfId="0" priority="4" operator="greaterThan">
      <formula>80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 t="s">
        <v>7</v>
      </c>
      <c r="B2">
        <v>17</v>
      </c>
      <c r="C2">
        <v>11</v>
      </c>
      <c r="D2">
        <v>14</v>
      </c>
      <c r="E2">
        <v>42</v>
      </c>
    </row>
    <row r="3" spans="1:5" x14ac:dyDescent="0.3">
      <c r="A3" t="s">
        <v>8</v>
      </c>
      <c r="B3">
        <v>16</v>
      </c>
      <c r="C3">
        <v>18</v>
      </c>
      <c r="D3">
        <v>16</v>
      </c>
      <c r="E3">
        <v>50</v>
      </c>
    </row>
    <row r="4" spans="1:5" x14ac:dyDescent="0.3">
      <c r="A4" t="s">
        <v>9</v>
      </c>
      <c r="B4">
        <v>13</v>
      </c>
      <c r="C4">
        <v>10</v>
      </c>
      <c r="D4">
        <v>15</v>
      </c>
      <c r="E4">
        <v>38</v>
      </c>
    </row>
    <row r="5" spans="1:5" x14ac:dyDescent="0.3">
      <c r="A5" t="s">
        <v>10</v>
      </c>
      <c r="B5">
        <v>13</v>
      </c>
      <c r="C5">
        <v>7</v>
      </c>
      <c r="D5">
        <v>9</v>
      </c>
      <c r="E5">
        <v>29</v>
      </c>
    </row>
    <row r="6" spans="1:5" x14ac:dyDescent="0.3">
      <c r="A6" t="s">
        <v>11</v>
      </c>
      <c r="B6">
        <v>1</v>
      </c>
      <c r="C6">
        <v>0</v>
      </c>
      <c r="D6">
        <v>0</v>
      </c>
      <c r="E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Dennys Zuñiga</cp:lastModifiedBy>
  <dcterms:created xsi:type="dcterms:W3CDTF">2026-08-19T14:18:59Z</dcterms:created>
  <dcterms:modified xsi:type="dcterms:W3CDTF">2026-08-24T16:26:39Z</dcterms:modified>
</cp:coreProperties>
</file>